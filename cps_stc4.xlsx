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6815" windowHeight="7050"/>
  </bookViews>
  <sheets>
    <sheet name="Assets" sheetId="1" r:id="rId1"/>
    <sheet name="NIST_Controls" sheetId="2" r:id="rId2"/>
    <sheet name="Game_Parameters" sheetId="3" r:id="rId3"/>
    <sheet name="Metadata_References" sheetId="4" r:id="rId4"/>
  </sheets>
  <definedNames>
    <definedName name="_xlnm._FilterDatabase" localSheetId="0" hidden="1">Assets!$A$1:$L$11</definedName>
    <definedName name="_xlnm._FilterDatabase" localSheetId="2" hidden="1">Game_Parameters!$A$1:$E$6</definedName>
    <definedName name="_xlnm._FilterDatabase" localSheetId="3" hidden="1">Metadata_References!$A$1:$C$16</definedName>
    <definedName name="_xlnm._FilterDatabase" localSheetId="1" hidden="1">NIST_Controls!$A$1:$H$37</definedName>
  </definedNames>
  <calcPr calcId="162913"/>
</workbook>
</file>

<file path=xl/calcChain.xml><?xml version="1.0" encoding="utf-8"?>
<calcChain xmlns="http://schemas.openxmlformats.org/spreadsheetml/2006/main">
  <c r="B2" i="3" l="1"/>
  <c r="F37" i="2"/>
  <c r="K11" i="1"/>
  <c r="F11" i="1"/>
  <c r="I11" i="1" s="1"/>
  <c r="K10" i="1"/>
  <c r="I10" i="1"/>
  <c r="F10" i="1"/>
  <c r="K9" i="1"/>
  <c r="F9" i="1"/>
  <c r="I9" i="1" s="1"/>
  <c r="K8" i="1"/>
  <c r="F8" i="1"/>
  <c r="I8" i="1" s="1"/>
  <c r="K7" i="1"/>
  <c r="F7" i="1"/>
  <c r="I7" i="1" s="1"/>
  <c r="K6" i="1"/>
  <c r="F6" i="1"/>
  <c r="I6" i="1" s="1"/>
  <c r="K5" i="1"/>
  <c r="F5" i="1"/>
  <c r="I5" i="1" s="1"/>
  <c r="K4" i="1"/>
  <c r="I4" i="1"/>
  <c r="F4" i="1"/>
  <c r="K3" i="1"/>
  <c r="F3" i="1"/>
  <c r="I3" i="1" s="1"/>
  <c r="K2" i="1"/>
  <c r="F2" i="1"/>
  <c r="I2" i="1" s="1"/>
</calcChain>
</file>

<file path=xl/sharedStrings.xml><?xml version="1.0" encoding="utf-8"?>
<sst xmlns="http://schemas.openxmlformats.org/spreadsheetml/2006/main" count="329" uniqueCount="199">
  <si>
    <t>Asset_ID</t>
  </si>
  <si>
    <t>Description (TEP Subsystem / Component)</t>
  </si>
  <si>
    <t>CVE_ID</t>
  </si>
  <si>
    <t>CWE_ID</t>
  </si>
  <si>
    <t>CVSS_v31_Base</t>
  </si>
  <si>
    <t>V_base</t>
  </si>
  <si>
    <t>TEP_Variable</t>
  </si>
  <si>
    <t>C_phys (PDI)</t>
  </si>
  <si>
    <t>R0</t>
  </si>
  <si>
    <t>Attacker_Cost_c_att</t>
  </si>
  <si>
    <t>Sum_Delta_Check</t>
  </si>
  <si>
    <t>CVSS_Source_Note</t>
  </si>
  <si>
    <t>A01</t>
  </si>
  <si>
    <t>TEP Reactor Subsystem — Siemens SIMATIC S7-1500 PLC</t>
  </si>
  <si>
    <t>CVE-2020-15782</t>
  </si>
  <si>
    <t>CWE-119</t>
  </si>
  <si>
    <t>XMEAS(7)</t>
  </si>
  <si>
    <t>A02</t>
  </si>
  <si>
    <t>TEP Product Composition Analyzer — Rockwell Automation Studio 5000 Logix Designer</t>
  </si>
  <si>
    <t>CVE-2021-22681</t>
  </si>
  <si>
    <t>CWE-522</t>
  </si>
  <si>
    <t>XMEAS(12)</t>
  </si>
  <si>
    <t>NVD base score; CISA KEV-listed cleartext credential exposure</t>
  </si>
  <si>
    <t>A03</t>
  </si>
  <si>
    <t>TEP Separator Subsystem — Advantech WebAccess HMI/SCADA</t>
  </si>
  <si>
    <t>CVE-2020-10619</t>
  </si>
  <si>
    <t>CWE-22</t>
  </si>
  <si>
    <t>XMEAS(19)</t>
  </si>
  <si>
    <t>NVD base score; path traversal in web server (CISA ICSA-20-105-03)</t>
  </si>
  <si>
    <t>A04</t>
  </si>
  <si>
    <t>Web-facing HMI Management Portal (Log4Shell exploitation scenario)</t>
  </si>
  <si>
    <t>CVE-2021-44228</t>
  </si>
  <si>
    <t>XMEAS(9)</t>
  </si>
  <si>
    <t>NVD base score; Log4Shell RCE in web-facing HMI servers, consistent with CISA Alert AA21-356A confirming active ICS targeting (CISA KEV)</t>
  </si>
  <si>
    <t>A05</t>
  </si>
  <si>
    <t>TEP Reactor Safety-Interlocked SIS — Siemens SIMATIC Safety Integrated</t>
  </si>
  <si>
    <t>CVE-2022-38465</t>
  </si>
  <si>
    <t>XMEAS(21)</t>
  </si>
  <si>
    <t>A06</t>
  </si>
  <si>
    <t>TEP Agitator Actuator — JTEKT TOYOPUC PLC Actuator Node</t>
  </si>
  <si>
    <t>CVE-2022-29951</t>
  </si>
  <si>
    <t>CWE-306</t>
  </si>
  <si>
    <t>XMEAS(22)</t>
  </si>
  <si>
    <t>NVD base score; missing authentication on commissioning protocol (CISA ICSA-22-125-01)</t>
  </si>
  <si>
    <t>A07</t>
  </si>
  <si>
    <t>TEP Feed Gateway — ICS Gateway / ThroughTek Kalay P2P SDK</t>
  </si>
  <si>
    <t>CVE-2021-32934</t>
  </si>
  <si>
    <t>CWE-319</t>
  </si>
  <si>
    <t>XMEAS(1)</t>
  </si>
  <si>
    <t>NVD base score; cleartext transmission of sensitive information (CISA ICSA-21-166-01, verified June 15, 2021)</t>
  </si>
  <si>
    <t>A08</t>
  </si>
  <si>
    <t>TEP Steam Controller — CODESYS V2 Runtime Controller</t>
  </si>
  <si>
    <t>CVE-2022-31806</t>
  </si>
  <si>
    <t>XMEAS(13)</t>
  </si>
  <si>
    <t>NVD base score; authentication bypass via crafted password reset (CERT@VDE VDE-2022-031)</t>
  </si>
  <si>
    <t>A09</t>
  </si>
  <si>
    <t>TEP Process Historian — Schneider Electric EcoStruxure Historian</t>
  </si>
  <si>
    <t>CVE-2020-12004</t>
  </si>
  <si>
    <t>CWE-200</t>
  </si>
  <si>
    <t>XMEAS(10)</t>
  </si>
  <si>
    <t>NVD base score; exposure of sensitive information (CISA ICSA-20-133-01)</t>
  </si>
  <si>
    <t>A10</t>
  </si>
  <si>
    <t>Engineering Workstation (OT) — VMware-based virtualization host for SCADA HMI</t>
  </si>
  <si>
    <t>CVE-2022-22954</t>
  </si>
  <si>
    <t>CWE-20</t>
  </si>
  <si>
    <t>XMV(4)</t>
  </si>
  <si>
    <t>NVD base score; VMware Workspace ONE RCE (CISA KEV); compromise at this layer enables direct manipulation of control logic</t>
  </si>
  <si>
    <t>Control_Row_ID</t>
  </si>
  <si>
    <t>Control_ID</t>
  </si>
  <si>
    <t>Control_Name</t>
  </si>
  <si>
    <t>Delta_ik</t>
  </si>
  <si>
    <t>Cost_c_ik</t>
  </si>
  <si>
    <t>Control_Family</t>
  </si>
  <si>
    <t>Provenance</t>
  </si>
  <si>
    <t>AC-3</t>
  </si>
  <si>
    <t>Access Enforcement</t>
  </si>
  <si>
    <t>AC</t>
  </si>
  <si>
    <t>Literature-Derived</t>
  </si>
  <si>
    <t>AC-6</t>
  </si>
  <si>
    <t>Least Privilege</t>
  </si>
  <si>
    <t>NIST SP 800-53 Guideline</t>
  </si>
  <si>
    <t>SC-7</t>
  </si>
  <si>
    <t>Boundary Protection</t>
  </si>
  <si>
    <t>SC</t>
  </si>
  <si>
    <t>SI-4</t>
  </si>
  <si>
    <t>System Monitoring</t>
  </si>
  <si>
    <t>SI</t>
  </si>
  <si>
    <t>Expert Elicitation</t>
  </si>
  <si>
    <t>AC-4</t>
  </si>
  <si>
    <t>Information Flow Enforcement</t>
  </si>
  <si>
    <t>IA-5</t>
  </si>
  <si>
    <t>Authenticator Management</t>
  </si>
  <si>
    <t>IA</t>
  </si>
  <si>
    <t>AU-6</t>
  </si>
  <si>
    <t>Audit Record Review and Reporting</t>
  </si>
  <si>
    <t>AU</t>
  </si>
  <si>
    <t>CM-5</t>
  </si>
  <si>
    <t>Access Restrictions for Change</t>
  </si>
  <si>
    <t>CM</t>
  </si>
  <si>
    <t>SC-8</t>
  </si>
  <si>
    <t>Transmission Confidentiality and Integrity</t>
  </si>
  <si>
    <t>RA-5</t>
  </si>
  <si>
    <t>Vulnerability Monitoring and Scanning</t>
  </si>
  <si>
    <t>RA</t>
  </si>
  <si>
    <t>SI-2</t>
  </si>
  <si>
    <t>Flaw Remediation</t>
  </si>
  <si>
    <t>SC-3</t>
  </si>
  <si>
    <t>Security Function Isolation</t>
  </si>
  <si>
    <t>IA-2</t>
  </si>
  <si>
    <t>Identification and Authentication (Organizational Users)</t>
  </si>
  <si>
    <t>SI-7</t>
  </si>
  <si>
    <t>Software, Firmware, and Information Integrity</t>
  </si>
  <si>
    <t>MP-6</t>
  </si>
  <si>
    <t>Media Sanitization</t>
  </si>
  <si>
    <t>MP</t>
  </si>
  <si>
    <t>CM-6</t>
  </si>
  <si>
    <t>Configuration Settings</t>
  </si>
  <si>
    <t>SC-12</t>
  </si>
  <si>
    <t>Cryptographic Key Establishment and Management</t>
  </si>
  <si>
    <t>SI-10</t>
  </si>
  <si>
    <t>Information Input Validation</t>
  </si>
  <si>
    <t>TOTAL (35 controls)</t>
  </si>
  <si>
    <t>Parameter_Name</t>
  </si>
  <si>
    <t>Value</t>
  </si>
  <si>
    <t>Mathematical_Symbol</t>
  </si>
  <si>
    <t>Formula_or_Source</t>
  </si>
  <si>
    <t>Description</t>
  </si>
  <si>
    <t>Total_Defender_Cost_Pool</t>
  </si>
  <si>
    <t>Defender_Budget_B</t>
  </si>
  <si>
    <t>B</t>
  </si>
  <si>
    <t>Attacker_Budget_b_att</t>
  </si>
  <si>
    <t>b^{att}</t>
  </si>
  <si>
    <t>Manuscript Section 3; constrains attacker to 2-4 targets given per-asset c_i^{att} in Assets sheet</t>
  </si>
  <si>
    <t>Total attacker penetration budget (constrains attacker to 2-4 target assets based on c_i^{att})</t>
  </si>
  <si>
    <t>Big_M_Default</t>
  </si>
  <si>
    <t>M</t>
  </si>
  <si>
    <t>Manuscript Section IV.3; tightened Big-M, legacy bound M=100 documented</t>
  </si>
  <si>
    <t>Big-M relaxation constant; tightened to M=2.0 (provably strictly bounds max(R_i^0)=0.8918); M=100 retains equivalent MILP optimality</t>
  </si>
  <si>
    <t>Max_Controls_Per_Asset</t>
  </si>
  <si>
    <t>K_{max}</t>
  </si>
  <si>
    <t>Manuscript Section 3; equals max controls per asset (A05 has 5 candidate controls)</t>
  </si>
  <si>
    <t>Physical/operational concurrency limit of defensive controls deployable on a single CPS node</t>
  </si>
  <si>
    <t>Ref_ID</t>
  </si>
  <si>
    <t>Reference_Name</t>
  </si>
  <si>
    <t>Details</t>
  </si>
  <si>
    <t>REF-01</t>
  </si>
  <si>
    <t>CISA Known Exploited Vulnerabilities (KEV) Catalog</t>
  </si>
  <si>
    <t>CVE-2021-44228, CVE-2021-22681, CVE-2022-22954 confirmed KEV entries; https://www.cisa.gov/known-exploited-vulnerabilities-catalog</t>
  </si>
  <si>
    <t>REF-02</t>
  </si>
  <si>
    <t>NIST National Vulnerability Database (NVD) v3.1 Metrics</t>
  </si>
  <si>
    <t>https://nvd.nist.gov/ — base scores and CWE mappings for all 10 CVEs</t>
  </si>
  <si>
    <t>REF-03</t>
  </si>
  <si>
    <t>Tennessee Eastman Process Benchmark Dataset</t>
  </si>
  <si>
    <t>Harvard Dataverse DOI: 10.7910/DVN/6C3JR1 (Rieth et al., 2017)</t>
  </si>
  <si>
    <t>REF-04</t>
  </si>
  <si>
    <t>pyTEP: A Python environment for the Tennessee Eastman Process</t>
  </si>
  <si>
    <t>SoftwareX / GitHub — simulator used to derive PDI C_i^{phys} values</t>
  </si>
  <si>
    <t>REF-05</t>
  </si>
  <si>
    <t>NIST SP 800-53 Rev. 5</t>
  </si>
  <si>
    <t>DOI: 10.6028/NIST.SP.800-53r5 — source of all 18 control identifiers</t>
  </si>
  <si>
    <t>REF-06</t>
  </si>
  <si>
    <t>CISA ICS-CERT Advisories</t>
  </si>
  <si>
    <t>REF-07</t>
  </si>
  <si>
    <t>REF-08</t>
  </si>
  <si>
    <t>Process Deviation Index (PDI) formulation</t>
  </si>
  <si>
    <t>C_i^{phys} = max_{t} |XMEAS_i(t) - XMEAS_i^{nominal}| / (XMEAS_i^{limit} - XMEAS_i^{nominal}), computed over a 24-hour pyTEP simulation window</t>
  </si>
  <si>
    <t>NOTE-A</t>
  </si>
  <si>
    <t>Manuscript Clarification A (Log4Shell OT relevance)</t>
  </si>
  <si>
    <t>A04 models exploitation of Log4Shell in web-facing HMI servers, consistent with CISA Alert AA21-356A confirming active ICS targeting</t>
  </si>
  <si>
    <t>NOTE-B</t>
  </si>
  <si>
    <t>Manuscript Clarification B (A10 VMware OT justification)</t>
  </si>
  <si>
    <t>A10 represents the Engineering Workstation layer where VMware-based virtualization hosts the SCADA HMI; compromise at this layer enables direct manipulation of control logic</t>
  </si>
  <si>
    <t>NOTE-C</t>
  </si>
  <si>
    <t>Manuscript Clarification C (A05 active constraint)</t>
  </si>
  <si>
    <t>A05 (Siemens SIS asset) reaches the theoretical maximum achievable risk reduction (sum Delta = 1.00, binding); sub-modularity effects are out of scope</t>
  </si>
  <si>
    <t>NOTE-D</t>
  </si>
  <si>
    <t>Manuscript Clarification D (linear independence assumption)</t>
  </si>
  <si>
    <t>Control effectiveness values are assumed independent and additive, representing an upper bound on achievable risk reduction; synergistic or redundant interactions are left for future work</t>
  </si>
  <si>
    <t>sum c_ik</t>
  </si>
  <si>
    <t>Manuscript Section 3; 5.3% of total cost pool</t>
  </si>
  <si>
    <t>Total defender budget (~5.3% of total cost pool, enforcing strategic sparse allocation)</t>
  </si>
  <si>
    <t>CWE-502</t>
  </si>
  <si>
    <t>CWE-287</t>
  </si>
  <si>
    <t>Grand sum of all 35 candidate defensive control implementation costs (exact 2264 units)</t>
  </si>
  <si>
    <t>ICSA-20-105-03, ICSA-21-166-01 (verified correct for CVE-2021-32934 ThroughTek, published June 15, 2021), ICSA-20-133-01, ICSA-22-125-01</t>
  </si>
  <si>
    <t>REF-09</t>
  </si>
  <si>
    <t>REF-10</t>
  </si>
  <si>
    <t>CISA Alert AA21-356A (Log4Shell ICS targeting, A04)</t>
  </si>
  <si>
    <t>REF-11</t>
  </si>
  <si>
    <t>CERT@VDE Advisory VDE-2022-031 (CVE-2022-31806, A08)</t>
  </si>
  <si>
    <t>Sum of NIST controls cost</t>
  </si>
  <si>
    <t>Vendor CNA (SSA-568427) assigns 9.3 for safety-integrated ICS networks; NVD base score is 7.8</t>
  </si>
  <si>
    <t>Siemens ProductCERT SSA-434534</t>
  </si>
  <si>
    <t>Siemens ProductCERT SSA-434534; CVE-2020-15782 on asset A01. Advisory ID taken from the NVD reference for this CVE. URL: https://cert-portal.siemens.com/productcert/pdf/ssa-434534.pdf</t>
  </si>
  <si>
    <t>Siemens Security Advisory SSA-568427</t>
  </si>
  <si>
    <t>SSA-568427, CVE-2022-38465, SIMATIC S7 key protection, asset A05. Siemens CNA assigns CVSS v3.1 base 9.3 (2022-10-11); NVD base is 7.8. Dataset uses the CNA score. Independent confirmation: CISA ICSA-22-286-04, CVSS 9.3. URL: https://cert-portal.siemens.com/productcert/html/ssa-568427.html</t>
  </si>
  <si>
    <t>CISA Alert AA21-356A</t>
  </si>
  <si>
    <t>CERT@VDE Advisory VDE-2022-031</t>
  </si>
  <si>
    <t>NVD CVSS v3.1 base 9.8 is the score used. Siemens ProductCERT SSA-434534 is the vendor advisory cited by NVD for CVE-2020-15782; it is not the source of the 9.8 score. CISA ICSA-21-152-01 scores the same CVE at 8.1.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</si>
</sst>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##"/>
    <numFmt numFmtId="169" formatCode="0.0000"/>
    <numFmt numFmtId="170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3" fontId="0" fillId="0" borderId="1" xfId="0" applyNumberFormat="1" applyBorder="1"/>
    <xf numFmtId="169" fontId="0" fillId="3" borderId="1" xfId="0" applyNumberFormat="1" applyFill="1" applyBorder="1"/>
    <xf numFmtId="169" fontId="0" fillId="0" borderId="1" xfId="0" applyNumberFormat="1" applyBorder="1"/>
    <xf numFmtId="170" fontId="0" fillId="3" borderId="1" xfId="0" applyNumberFormat="1" applyFill="1" applyBorder="1"/>
    <xf numFmtId="170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ERT@VDE%20Advisory%20VDE-2022-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H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12" customWidth="1"/>
    <col min="2" max="2" width="48" customWidth="1"/>
    <col min="3" max="3" width="17" customWidth="1"/>
    <col min="4" max="4" width="23" customWidth="1"/>
    <col min="5" max="5" width="16" customWidth="1"/>
    <col min="6" max="6" width="12" customWidth="1"/>
    <col min="7" max="8" width="15" customWidth="1"/>
    <col min="9" max="9" width="12" customWidth="1"/>
    <col min="10" max="10" width="22" customWidth="1"/>
    <col min="11" max="12" width="48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0">
        <v>9.8000000000000007</v>
      </c>
      <c r="F2" s="8">
        <f t="shared" ref="F2:F11" si="0">E2/10</f>
        <v>0.98000000000000009</v>
      </c>
      <c r="G2" s="2" t="s">
        <v>16</v>
      </c>
      <c r="H2" s="8">
        <v>0.91</v>
      </c>
      <c r="I2" s="8">
        <f t="shared" ref="I2:I11" si="1">F2*H2</f>
        <v>0.89180000000000015</v>
      </c>
      <c r="J2" s="8">
        <v>18</v>
      </c>
      <c r="K2" s="2" t="b">
        <f>SUMIF(NIST_Controls!C:C,A2,NIST_Controls!E:E)&lt;=1</f>
        <v>1</v>
      </c>
      <c r="L2" s="2" t="s">
        <v>198</v>
      </c>
    </row>
    <row r="3" spans="1:12" x14ac:dyDescent="0.25">
      <c r="A3" s="4" t="s">
        <v>17</v>
      </c>
      <c r="B3" s="4" t="s">
        <v>18</v>
      </c>
      <c r="C3" s="4" t="s">
        <v>19</v>
      </c>
      <c r="D3" s="4" t="s">
        <v>20</v>
      </c>
      <c r="E3" s="11">
        <v>9.8000000000000007</v>
      </c>
      <c r="F3" s="9">
        <f t="shared" si="0"/>
        <v>0.98000000000000009</v>
      </c>
      <c r="G3" s="4" t="s">
        <v>21</v>
      </c>
      <c r="H3" s="9">
        <v>0.84</v>
      </c>
      <c r="I3" s="9">
        <f t="shared" si="1"/>
        <v>0.82320000000000004</v>
      </c>
      <c r="J3" s="9">
        <v>15</v>
      </c>
      <c r="K3" s="4" t="b">
        <f>SUMIF(NIST_Controls!C:C,A3,NIST_Controls!E:E)&lt;=1</f>
        <v>1</v>
      </c>
      <c r="L3" s="4" t="s">
        <v>22</v>
      </c>
    </row>
    <row r="4" spans="1:12" x14ac:dyDescent="0.25">
      <c r="A4" s="2" t="s">
        <v>23</v>
      </c>
      <c r="B4" s="2" t="s">
        <v>24</v>
      </c>
      <c r="C4" s="2" t="s">
        <v>25</v>
      </c>
      <c r="D4" s="2" t="s">
        <v>26</v>
      </c>
      <c r="E4" s="10">
        <v>9.1</v>
      </c>
      <c r="F4" s="8">
        <f t="shared" si="0"/>
        <v>0.90999999999999992</v>
      </c>
      <c r="G4" s="2" t="s">
        <v>27</v>
      </c>
      <c r="H4" s="8">
        <v>0.76</v>
      </c>
      <c r="I4" s="8">
        <f t="shared" si="1"/>
        <v>0.69159999999999999</v>
      </c>
      <c r="J4" s="8">
        <v>12</v>
      </c>
      <c r="K4" s="2" t="b">
        <f>SUMIF(NIST_Controls!C:C,A4,NIST_Controls!E:E)&lt;=1</f>
        <v>1</v>
      </c>
      <c r="L4" s="2" t="s">
        <v>28</v>
      </c>
    </row>
    <row r="5" spans="1:12" x14ac:dyDescent="0.25">
      <c r="A5" s="4" t="s">
        <v>29</v>
      </c>
      <c r="B5" s="4" t="s">
        <v>30</v>
      </c>
      <c r="C5" s="4" t="s">
        <v>31</v>
      </c>
      <c r="D5" s="4" t="s">
        <v>181</v>
      </c>
      <c r="E5" s="11">
        <v>10</v>
      </c>
      <c r="F5" s="9">
        <f t="shared" si="0"/>
        <v>1</v>
      </c>
      <c r="G5" s="4" t="s">
        <v>32</v>
      </c>
      <c r="H5" s="9">
        <v>0.88</v>
      </c>
      <c r="I5" s="9">
        <f t="shared" si="1"/>
        <v>0.88</v>
      </c>
      <c r="J5" s="9">
        <v>14</v>
      </c>
      <c r="K5" s="4" t="b">
        <f>SUMIF(NIST_Controls!C:C,A5,NIST_Controls!E:E)&lt;=1</f>
        <v>1</v>
      </c>
      <c r="L5" s="4" t="s">
        <v>33</v>
      </c>
    </row>
    <row r="6" spans="1:12" x14ac:dyDescent="0.25">
      <c r="A6" s="2" t="s">
        <v>34</v>
      </c>
      <c r="B6" s="2" t="s">
        <v>35</v>
      </c>
      <c r="C6" s="2" t="s">
        <v>36</v>
      </c>
      <c r="D6" s="2" t="s">
        <v>20</v>
      </c>
      <c r="E6" s="10">
        <v>9.3000000000000007</v>
      </c>
      <c r="F6" s="8">
        <f t="shared" si="0"/>
        <v>0.93</v>
      </c>
      <c r="G6" s="2" t="s">
        <v>37</v>
      </c>
      <c r="H6" s="8">
        <v>0.95</v>
      </c>
      <c r="I6" s="8">
        <f t="shared" si="1"/>
        <v>0.88349999999999995</v>
      </c>
      <c r="J6" s="8">
        <v>20</v>
      </c>
      <c r="K6" s="2" t="b">
        <f>SUMIF(NIST_Controls!C:C,A6,NIST_Controls!E:E)&lt;=1</f>
        <v>1</v>
      </c>
      <c r="L6" s="2" t="s">
        <v>191</v>
      </c>
    </row>
    <row r="7" spans="1:12" x14ac:dyDescent="0.25">
      <c r="A7" s="4" t="s">
        <v>38</v>
      </c>
      <c r="B7" s="4" t="s">
        <v>39</v>
      </c>
      <c r="C7" s="4" t="s">
        <v>40</v>
      </c>
      <c r="D7" s="4" t="s">
        <v>41</v>
      </c>
      <c r="E7" s="11">
        <v>9.1</v>
      </c>
      <c r="F7" s="9">
        <f t="shared" si="0"/>
        <v>0.90999999999999992</v>
      </c>
      <c r="G7" s="4" t="s">
        <v>42</v>
      </c>
      <c r="H7" s="9">
        <v>0.79</v>
      </c>
      <c r="I7" s="9">
        <f t="shared" si="1"/>
        <v>0.71889999999999998</v>
      </c>
      <c r="J7" s="9">
        <v>12</v>
      </c>
      <c r="K7" s="4" t="b">
        <f>SUMIF(NIST_Controls!C:C,A7,NIST_Controls!E:E)&lt;=1</f>
        <v>1</v>
      </c>
      <c r="L7" s="4" t="s">
        <v>43</v>
      </c>
    </row>
    <row r="8" spans="1:12" x14ac:dyDescent="0.25">
      <c r="A8" s="2" t="s">
        <v>44</v>
      </c>
      <c r="B8" s="2" t="s">
        <v>45</v>
      </c>
      <c r="C8" s="2" t="s">
        <v>46</v>
      </c>
      <c r="D8" s="2" t="s">
        <v>47</v>
      </c>
      <c r="E8" s="10">
        <v>9.1</v>
      </c>
      <c r="F8" s="8">
        <f t="shared" si="0"/>
        <v>0.90999999999999992</v>
      </c>
      <c r="G8" s="2" t="s">
        <v>48</v>
      </c>
      <c r="H8" s="8">
        <v>0.68</v>
      </c>
      <c r="I8" s="8">
        <f t="shared" si="1"/>
        <v>0.61880000000000002</v>
      </c>
      <c r="J8" s="8">
        <v>10</v>
      </c>
      <c r="K8" s="2" t="b">
        <f>SUMIF(NIST_Controls!C:C,A8,NIST_Controls!E:E)&lt;=1</f>
        <v>1</v>
      </c>
      <c r="L8" s="2" t="s">
        <v>49</v>
      </c>
    </row>
    <row r="9" spans="1:12" x14ac:dyDescent="0.25">
      <c r="A9" s="4" t="s">
        <v>50</v>
      </c>
      <c r="B9" s="4" t="s">
        <v>51</v>
      </c>
      <c r="C9" s="4" t="s">
        <v>52</v>
      </c>
      <c r="D9" s="4" t="s">
        <v>182</v>
      </c>
      <c r="E9" s="11">
        <v>9.8000000000000007</v>
      </c>
      <c r="F9" s="9">
        <f t="shared" si="0"/>
        <v>0.98000000000000009</v>
      </c>
      <c r="G9" s="4" t="s">
        <v>53</v>
      </c>
      <c r="H9" s="9">
        <v>0.72</v>
      </c>
      <c r="I9" s="9">
        <f t="shared" si="1"/>
        <v>0.7056</v>
      </c>
      <c r="J9" s="9">
        <v>12</v>
      </c>
      <c r="K9" s="4" t="b">
        <f>SUMIF(NIST_Controls!C:C,A9,NIST_Controls!E:E)&lt;=1</f>
        <v>1</v>
      </c>
      <c r="L9" s="4" t="s">
        <v>54</v>
      </c>
    </row>
    <row r="10" spans="1:12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10">
        <v>7.8</v>
      </c>
      <c r="F10" s="8">
        <f t="shared" si="0"/>
        <v>0.78</v>
      </c>
      <c r="G10" s="2" t="s">
        <v>59</v>
      </c>
      <c r="H10" s="8">
        <v>0.52</v>
      </c>
      <c r="I10" s="8">
        <f t="shared" si="1"/>
        <v>0.40560000000000002</v>
      </c>
      <c r="J10" s="8">
        <v>8</v>
      </c>
      <c r="K10" s="2" t="b">
        <f>SUMIF(NIST_Controls!C:C,A10,NIST_Controls!E:E)&lt;=1</f>
        <v>1</v>
      </c>
      <c r="L10" s="2" t="s">
        <v>60</v>
      </c>
    </row>
    <row r="11" spans="1:12" x14ac:dyDescent="0.25">
      <c r="A11" s="4" t="s">
        <v>61</v>
      </c>
      <c r="B11" s="4" t="s">
        <v>62</v>
      </c>
      <c r="C11" s="4" t="s">
        <v>63</v>
      </c>
      <c r="D11" s="4" t="s">
        <v>64</v>
      </c>
      <c r="E11" s="11">
        <v>9.8000000000000007</v>
      </c>
      <c r="F11" s="9">
        <f t="shared" si="0"/>
        <v>0.98000000000000009</v>
      </c>
      <c r="G11" s="4" t="s">
        <v>65</v>
      </c>
      <c r="H11" s="9">
        <v>0.44</v>
      </c>
      <c r="I11" s="9">
        <f t="shared" si="1"/>
        <v>0.43120000000000003</v>
      </c>
      <c r="J11" s="9">
        <v>10</v>
      </c>
      <c r="K11" s="4" t="b">
        <f>SUMIF(NIST_Controls!C:C,A11,NIST_Controls!E:E)&lt;=1</f>
        <v>1</v>
      </c>
      <c r="L11" s="4" t="s">
        <v>66</v>
      </c>
    </row>
  </sheetData>
  <autoFilter ref="A1:L1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 activeCell="E2" sqref="E2:F36"/>
    </sheetView>
  </sheetViews>
  <sheetFormatPr defaultRowHeight="15" x14ac:dyDescent="0.25"/>
  <cols>
    <col min="1" max="1" width="17" customWidth="1"/>
    <col min="2" max="2" width="22" customWidth="1"/>
    <col min="3" max="3" width="12" customWidth="1"/>
    <col min="4" max="4" width="48" customWidth="1"/>
    <col min="5" max="5" width="12" customWidth="1"/>
    <col min="6" max="6" width="15" customWidth="1"/>
    <col min="7" max="7" width="17" customWidth="1"/>
    <col min="8" max="8" width="27" customWidth="1"/>
  </cols>
  <sheetData>
    <row r="1" spans="1:8" ht="24" customHeight="1" x14ac:dyDescent="0.25">
      <c r="A1" s="1" t="s">
        <v>67</v>
      </c>
      <c r="B1" s="1" t="s">
        <v>68</v>
      </c>
      <c r="C1" s="1" t="s">
        <v>0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s="6">
        <v>1</v>
      </c>
      <c r="B2" s="2" t="s">
        <v>74</v>
      </c>
      <c r="C2" s="2" t="s">
        <v>12</v>
      </c>
      <c r="D2" s="2" t="s">
        <v>75</v>
      </c>
      <c r="E2" s="10">
        <v>0.28000000000000003</v>
      </c>
      <c r="F2" s="10">
        <v>86</v>
      </c>
      <c r="G2" s="2" t="s">
        <v>76</v>
      </c>
      <c r="H2" s="2" t="s">
        <v>77</v>
      </c>
    </row>
    <row r="3" spans="1:8" x14ac:dyDescent="0.25">
      <c r="A3" s="7">
        <v>2</v>
      </c>
      <c r="B3" s="4" t="s">
        <v>78</v>
      </c>
      <c r="C3" s="4" t="s">
        <v>12</v>
      </c>
      <c r="D3" s="4" t="s">
        <v>79</v>
      </c>
      <c r="E3" s="11">
        <v>0.22</v>
      </c>
      <c r="F3" s="11">
        <v>71</v>
      </c>
      <c r="G3" s="4" t="s">
        <v>76</v>
      </c>
      <c r="H3" s="4" t="s">
        <v>80</v>
      </c>
    </row>
    <row r="4" spans="1:8" x14ac:dyDescent="0.25">
      <c r="A4" s="6">
        <v>3</v>
      </c>
      <c r="B4" s="2" t="s">
        <v>81</v>
      </c>
      <c r="C4" s="2" t="s">
        <v>12</v>
      </c>
      <c r="D4" s="2" t="s">
        <v>82</v>
      </c>
      <c r="E4" s="10">
        <v>0.25</v>
      </c>
      <c r="F4" s="10">
        <v>118</v>
      </c>
      <c r="G4" s="2" t="s">
        <v>83</v>
      </c>
      <c r="H4" s="2" t="s">
        <v>77</v>
      </c>
    </row>
    <row r="5" spans="1:8" x14ac:dyDescent="0.25">
      <c r="A5" s="7">
        <v>4</v>
      </c>
      <c r="B5" s="4" t="s">
        <v>84</v>
      </c>
      <c r="C5" s="4" t="s">
        <v>12</v>
      </c>
      <c r="D5" s="4" t="s">
        <v>85</v>
      </c>
      <c r="E5" s="11">
        <v>0.15</v>
      </c>
      <c r="F5" s="11">
        <v>64</v>
      </c>
      <c r="G5" s="4" t="s">
        <v>86</v>
      </c>
      <c r="H5" s="4" t="s">
        <v>87</v>
      </c>
    </row>
    <row r="6" spans="1:8" x14ac:dyDescent="0.25">
      <c r="A6" s="6">
        <v>5</v>
      </c>
      <c r="B6" s="2" t="s">
        <v>74</v>
      </c>
      <c r="C6" s="2" t="s">
        <v>17</v>
      </c>
      <c r="D6" s="2" t="s">
        <v>75</v>
      </c>
      <c r="E6" s="10">
        <v>0.35</v>
      </c>
      <c r="F6" s="10">
        <v>92</v>
      </c>
      <c r="G6" s="2" t="s">
        <v>76</v>
      </c>
      <c r="H6" s="2" t="s">
        <v>77</v>
      </c>
    </row>
    <row r="7" spans="1:8" x14ac:dyDescent="0.25">
      <c r="A7" s="7">
        <v>6</v>
      </c>
      <c r="B7" s="4" t="s">
        <v>88</v>
      </c>
      <c r="C7" s="4" t="s">
        <v>17</v>
      </c>
      <c r="D7" s="4" t="s">
        <v>89</v>
      </c>
      <c r="E7" s="11">
        <v>0.32</v>
      </c>
      <c r="F7" s="11">
        <v>78</v>
      </c>
      <c r="G7" s="4" t="s">
        <v>76</v>
      </c>
      <c r="H7" s="4" t="s">
        <v>80</v>
      </c>
    </row>
    <row r="8" spans="1:8" x14ac:dyDescent="0.25">
      <c r="A8" s="6">
        <v>7</v>
      </c>
      <c r="B8" s="2" t="s">
        <v>90</v>
      </c>
      <c r="C8" s="2" t="s">
        <v>17</v>
      </c>
      <c r="D8" s="2" t="s">
        <v>91</v>
      </c>
      <c r="E8" s="10">
        <v>0.28000000000000003</v>
      </c>
      <c r="F8" s="10">
        <v>57</v>
      </c>
      <c r="G8" s="2" t="s">
        <v>92</v>
      </c>
      <c r="H8" s="2" t="s">
        <v>80</v>
      </c>
    </row>
    <row r="9" spans="1:8" x14ac:dyDescent="0.25">
      <c r="A9" s="7">
        <v>8</v>
      </c>
      <c r="B9" s="4" t="s">
        <v>74</v>
      </c>
      <c r="C9" s="4" t="s">
        <v>23</v>
      </c>
      <c r="D9" s="4" t="s">
        <v>75</v>
      </c>
      <c r="E9" s="11">
        <v>0.25</v>
      </c>
      <c r="F9" s="11">
        <v>64</v>
      </c>
      <c r="G9" s="4" t="s">
        <v>76</v>
      </c>
      <c r="H9" s="4" t="s">
        <v>77</v>
      </c>
    </row>
    <row r="10" spans="1:8" x14ac:dyDescent="0.25">
      <c r="A10" s="6">
        <v>9</v>
      </c>
      <c r="B10" s="2" t="s">
        <v>93</v>
      </c>
      <c r="C10" s="2" t="s">
        <v>23</v>
      </c>
      <c r="D10" s="2" t="s">
        <v>94</v>
      </c>
      <c r="E10" s="10">
        <v>0.25</v>
      </c>
      <c r="F10" s="10">
        <v>49</v>
      </c>
      <c r="G10" s="2" t="s">
        <v>95</v>
      </c>
      <c r="H10" s="2" t="s">
        <v>80</v>
      </c>
    </row>
    <row r="11" spans="1:8" x14ac:dyDescent="0.25">
      <c r="A11" s="7">
        <v>10</v>
      </c>
      <c r="B11" s="4" t="s">
        <v>96</v>
      </c>
      <c r="C11" s="4" t="s">
        <v>23</v>
      </c>
      <c r="D11" s="4" t="s">
        <v>97</v>
      </c>
      <c r="E11" s="11">
        <v>0.22</v>
      </c>
      <c r="F11" s="11">
        <v>38</v>
      </c>
      <c r="G11" s="4" t="s">
        <v>98</v>
      </c>
      <c r="H11" s="4" t="s">
        <v>87</v>
      </c>
    </row>
    <row r="12" spans="1:8" x14ac:dyDescent="0.25">
      <c r="A12" s="6">
        <v>11</v>
      </c>
      <c r="B12" s="2" t="s">
        <v>99</v>
      </c>
      <c r="C12" s="2" t="s">
        <v>23</v>
      </c>
      <c r="D12" s="2" t="s">
        <v>100</v>
      </c>
      <c r="E12" s="10">
        <v>0.18</v>
      </c>
      <c r="F12" s="10">
        <v>31</v>
      </c>
      <c r="G12" s="2" t="s">
        <v>83</v>
      </c>
      <c r="H12" s="2" t="s">
        <v>80</v>
      </c>
    </row>
    <row r="13" spans="1:8" x14ac:dyDescent="0.25">
      <c r="A13" s="7">
        <v>12</v>
      </c>
      <c r="B13" s="4" t="s">
        <v>101</v>
      </c>
      <c r="C13" s="4" t="s">
        <v>29</v>
      </c>
      <c r="D13" s="4" t="s">
        <v>102</v>
      </c>
      <c r="E13" s="11">
        <v>0.25</v>
      </c>
      <c r="F13" s="11">
        <v>83</v>
      </c>
      <c r="G13" s="4" t="s">
        <v>103</v>
      </c>
      <c r="H13" s="4" t="s">
        <v>77</v>
      </c>
    </row>
    <row r="14" spans="1:8" x14ac:dyDescent="0.25">
      <c r="A14" s="6">
        <v>13</v>
      </c>
      <c r="B14" s="2" t="s">
        <v>104</v>
      </c>
      <c r="C14" s="2" t="s">
        <v>29</v>
      </c>
      <c r="D14" s="2" t="s">
        <v>105</v>
      </c>
      <c r="E14" s="10">
        <v>0.22</v>
      </c>
      <c r="F14" s="10">
        <v>66</v>
      </c>
      <c r="G14" s="2" t="s">
        <v>86</v>
      </c>
      <c r="H14" s="2" t="s">
        <v>80</v>
      </c>
    </row>
    <row r="15" spans="1:8" x14ac:dyDescent="0.25">
      <c r="A15" s="7">
        <v>14</v>
      </c>
      <c r="B15" s="4" t="s">
        <v>106</v>
      </c>
      <c r="C15" s="4" t="s">
        <v>29</v>
      </c>
      <c r="D15" s="4" t="s">
        <v>107</v>
      </c>
      <c r="E15" s="11">
        <v>0.2</v>
      </c>
      <c r="F15" s="11">
        <v>54</v>
      </c>
      <c r="G15" s="4" t="s">
        <v>83</v>
      </c>
      <c r="H15" s="4" t="s">
        <v>87</v>
      </c>
    </row>
    <row r="16" spans="1:8" x14ac:dyDescent="0.25">
      <c r="A16" s="6">
        <v>15</v>
      </c>
      <c r="B16" s="2" t="s">
        <v>74</v>
      </c>
      <c r="C16" s="2" t="s">
        <v>34</v>
      </c>
      <c r="D16" s="2" t="s">
        <v>75</v>
      </c>
      <c r="E16" s="10">
        <v>0.25</v>
      </c>
      <c r="F16" s="10">
        <v>89</v>
      </c>
      <c r="G16" s="2" t="s">
        <v>76</v>
      </c>
      <c r="H16" s="2" t="s">
        <v>77</v>
      </c>
    </row>
    <row r="17" spans="1:8" x14ac:dyDescent="0.25">
      <c r="A17" s="7">
        <v>16</v>
      </c>
      <c r="B17" s="4" t="s">
        <v>108</v>
      </c>
      <c r="C17" s="4" t="s">
        <v>34</v>
      </c>
      <c r="D17" s="4" t="s">
        <v>109</v>
      </c>
      <c r="E17" s="11">
        <v>0.22</v>
      </c>
      <c r="F17" s="11">
        <v>74</v>
      </c>
      <c r="G17" s="4" t="s">
        <v>92</v>
      </c>
      <c r="H17" s="4" t="s">
        <v>80</v>
      </c>
    </row>
    <row r="18" spans="1:8" x14ac:dyDescent="0.25">
      <c r="A18" s="6">
        <v>17</v>
      </c>
      <c r="B18" s="2" t="s">
        <v>81</v>
      </c>
      <c r="C18" s="2" t="s">
        <v>34</v>
      </c>
      <c r="D18" s="2" t="s">
        <v>82</v>
      </c>
      <c r="E18" s="10">
        <v>0.25</v>
      </c>
      <c r="F18" s="10">
        <v>121</v>
      </c>
      <c r="G18" s="2" t="s">
        <v>83</v>
      </c>
      <c r="H18" s="2" t="s">
        <v>77</v>
      </c>
    </row>
    <row r="19" spans="1:8" x14ac:dyDescent="0.25">
      <c r="A19" s="7">
        <v>18</v>
      </c>
      <c r="B19" s="4" t="s">
        <v>110</v>
      </c>
      <c r="C19" s="4" t="s">
        <v>34</v>
      </c>
      <c r="D19" s="4" t="s">
        <v>111</v>
      </c>
      <c r="E19" s="11">
        <v>0.22</v>
      </c>
      <c r="F19" s="11">
        <v>62</v>
      </c>
      <c r="G19" s="4" t="s">
        <v>86</v>
      </c>
      <c r="H19" s="4" t="s">
        <v>80</v>
      </c>
    </row>
    <row r="20" spans="1:8" x14ac:dyDescent="0.25">
      <c r="A20" s="6">
        <v>19</v>
      </c>
      <c r="B20" s="2" t="s">
        <v>112</v>
      </c>
      <c r="C20" s="2" t="s">
        <v>34</v>
      </c>
      <c r="D20" s="2" t="s">
        <v>113</v>
      </c>
      <c r="E20" s="10">
        <v>0.06</v>
      </c>
      <c r="F20" s="10">
        <v>17</v>
      </c>
      <c r="G20" s="2" t="s">
        <v>114</v>
      </c>
      <c r="H20" s="2" t="s">
        <v>87</v>
      </c>
    </row>
    <row r="21" spans="1:8" x14ac:dyDescent="0.25">
      <c r="A21" s="7">
        <v>20</v>
      </c>
      <c r="B21" s="4" t="s">
        <v>115</v>
      </c>
      <c r="C21" s="4" t="s">
        <v>38</v>
      </c>
      <c r="D21" s="4" t="s">
        <v>116</v>
      </c>
      <c r="E21" s="11">
        <v>0.34</v>
      </c>
      <c r="F21" s="11">
        <v>81</v>
      </c>
      <c r="G21" s="4" t="s">
        <v>98</v>
      </c>
      <c r="H21" s="4" t="s">
        <v>77</v>
      </c>
    </row>
    <row r="22" spans="1:8" x14ac:dyDescent="0.25">
      <c r="A22" s="6">
        <v>21</v>
      </c>
      <c r="B22" s="2" t="s">
        <v>90</v>
      </c>
      <c r="C22" s="2" t="s">
        <v>38</v>
      </c>
      <c r="D22" s="2" t="s">
        <v>91</v>
      </c>
      <c r="E22" s="10">
        <v>0.3</v>
      </c>
      <c r="F22" s="10">
        <v>69</v>
      </c>
      <c r="G22" s="2" t="s">
        <v>92</v>
      </c>
      <c r="H22" s="2" t="s">
        <v>80</v>
      </c>
    </row>
    <row r="23" spans="1:8" x14ac:dyDescent="0.25">
      <c r="A23" s="7">
        <v>22</v>
      </c>
      <c r="B23" s="4" t="s">
        <v>117</v>
      </c>
      <c r="C23" s="4" t="s">
        <v>38</v>
      </c>
      <c r="D23" s="4" t="s">
        <v>118</v>
      </c>
      <c r="E23" s="11">
        <v>0.28000000000000003</v>
      </c>
      <c r="F23" s="11">
        <v>58</v>
      </c>
      <c r="G23" s="4" t="s">
        <v>83</v>
      </c>
      <c r="H23" s="4" t="s">
        <v>80</v>
      </c>
    </row>
    <row r="24" spans="1:8" x14ac:dyDescent="0.25">
      <c r="A24" s="6">
        <v>23</v>
      </c>
      <c r="B24" s="2" t="s">
        <v>81</v>
      </c>
      <c r="C24" s="2" t="s">
        <v>44</v>
      </c>
      <c r="D24" s="2" t="s">
        <v>82</v>
      </c>
      <c r="E24" s="10">
        <v>0.3</v>
      </c>
      <c r="F24" s="10">
        <v>97</v>
      </c>
      <c r="G24" s="2" t="s">
        <v>83</v>
      </c>
      <c r="H24" s="2" t="s">
        <v>77</v>
      </c>
    </row>
    <row r="25" spans="1:8" x14ac:dyDescent="0.25">
      <c r="A25" s="7">
        <v>24</v>
      </c>
      <c r="B25" s="4" t="s">
        <v>99</v>
      </c>
      <c r="C25" s="4" t="s">
        <v>44</v>
      </c>
      <c r="D25" s="4" t="s">
        <v>100</v>
      </c>
      <c r="E25" s="11">
        <v>0.3</v>
      </c>
      <c r="F25" s="11">
        <v>84</v>
      </c>
      <c r="G25" s="4" t="s">
        <v>83</v>
      </c>
      <c r="H25" s="4" t="s">
        <v>80</v>
      </c>
    </row>
    <row r="26" spans="1:8" x14ac:dyDescent="0.25">
      <c r="A26" s="6">
        <v>25</v>
      </c>
      <c r="B26" s="2" t="s">
        <v>84</v>
      </c>
      <c r="C26" s="2" t="s">
        <v>44</v>
      </c>
      <c r="D26" s="2" t="s">
        <v>85</v>
      </c>
      <c r="E26" s="10">
        <v>0.22</v>
      </c>
      <c r="F26" s="10">
        <v>52</v>
      </c>
      <c r="G26" s="2" t="s">
        <v>86</v>
      </c>
      <c r="H26" s="2" t="s">
        <v>87</v>
      </c>
    </row>
    <row r="27" spans="1:8" x14ac:dyDescent="0.25">
      <c r="A27" s="7">
        <v>26</v>
      </c>
      <c r="B27" s="4" t="s">
        <v>108</v>
      </c>
      <c r="C27" s="4" t="s">
        <v>50</v>
      </c>
      <c r="D27" s="4" t="s">
        <v>109</v>
      </c>
      <c r="E27" s="11">
        <v>0.35</v>
      </c>
      <c r="F27" s="11">
        <v>88</v>
      </c>
      <c r="G27" s="4" t="s">
        <v>92</v>
      </c>
      <c r="H27" s="4" t="s">
        <v>77</v>
      </c>
    </row>
    <row r="28" spans="1:8" x14ac:dyDescent="0.25">
      <c r="A28" s="6">
        <v>27</v>
      </c>
      <c r="B28" s="2" t="s">
        <v>90</v>
      </c>
      <c r="C28" s="2" t="s">
        <v>50</v>
      </c>
      <c r="D28" s="2" t="s">
        <v>91</v>
      </c>
      <c r="E28" s="10">
        <v>0.28000000000000003</v>
      </c>
      <c r="F28" s="10">
        <v>61</v>
      </c>
      <c r="G28" s="2" t="s">
        <v>92</v>
      </c>
      <c r="H28" s="2" t="s">
        <v>80</v>
      </c>
    </row>
    <row r="29" spans="1:8" x14ac:dyDescent="0.25">
      <c r="A29" s="7">
        <v>28</v>
      </c>
      <c r="B29" s="4" t="s">
        <v>119</v>
      </c>
      <c r="C29" s="4" t="s">
        <v>50</v>
      </c>
      <c r="D29" s="4" t="s">
        <v>120</v>
      </c>
      <c r="E29" s="11">
        <v>0.2</v>
      </c>
      <c r="F29" s="11">
        <v>43</v>
      </c>
      <c r="G29" s="4" t="s">
        <v>86</v>
      </c>
      <c r="H29" s="4" t="s">
        <v>87</v>
      </c>
    </row>
    <row r="30" spans="1:8" x14ac:dyDescent="0.25">
      <c r="A30" s="6">
        <v>29</v>
      </c>
      <c r="B30" s="2" t="s">
        <v>93</v>
      </c>
      <c r="C30" s="2" t="s">
        <v>55</v>
      </c>
      <c r="D30" s="2" t="s">
        <v>94</v>
      </c>
      <c r="E30" s="10">
        <v>0.24</v>
      </c>
      <c r="F30" s="10">
        <v>46</v>
      </c>
      <c r="G30" s="2" t="s">
        <v>95</v>
      </c>
      <c r="H30" s="2" t="s">
        <v>77</v>
      </c>
    </row>
    <row r="31" spans="1:8" x14ac:dyDescent="0.25">
      <c r="A31" s="7">
        <v>30</v>
      </c>
      <c r="B31" s="4" t="s">
        <v>84</v>
      </c>
      <c r="C31" s="4" t="s">
        <v>55</v>
      </c>
      <c r="D31" s="4" t="s">
        <v>85</v>
      </c>
      <c r="E31" s="11">
        <v>0.22</v>
      </c>
      <c r="F31" s="11">
        <v>39</v>
      </c>
      <c r="G31" s="4" t="s">
        <v>86</v>
      </c>
      <c r="H31" s="4" t="s">
        <v>80</v>
      </c>
    </row>
    <row r="32" spans="1:8" x14ac:dyDescent="0.25">
      <c r="A32" s="6">
        <v>31</v>
      </c>
      <c r="B32" s="2" t="s">
        <v>117</v>
      </c>
      <c r="C32" s="2" t="s">
        <v>55</v>
      </c>
      <c r="D32" s="2" t="s">
        <v>118</v>
      </c>
      <c r="E32" s="10">
        <v>0.18</v>
      </c>
      <c r="F32" s="10">
        <v>27</v>
      </c>
      <c r="G32" s="2" t="s">
        <v>83</v>
      </c>
      <c r="H32" s="2" t="s">
        <v>87</v>
      </c>
    </row>
    <row r="33" spans="1:8" x14ac:dyDescent="0.25">
      <c r="A33" s="7">
        <v>32</v>
      </c>
      <c r="B33" s="4" t="s">
        <v>88</v>
      </c>
      <c r="C33" s="4" t="s">
        <v>61</v>
      </c>
      <c r="D33" s="4" t="s">
        <v>89</v>
      </c>
      <c r="E33" s="11">
        <v>0.28000000000000003</v>
      </c>
      <c r="F33" s="11">
        <v>73</v>
      </c>
      <c r="G33" s="4" t="s">
        <v>76</v>
      </c>
      <c r="H33" s="4" t="s">
        <v>77</v>
      </c>
    </row>
    <row r="34" spans="1:8" x14ac:dyDescent="0.25">
      <c r="A34" s="6">
        <v>33</v>
      </c>
      <c r="B34" s="2" t="s">
        <v>115</v>
      </c>
      <c r="C34" s="2" t="s">
        <v>61</v>
      </c>
      <c r="D34" s="2" t="s">
        <v>116</v>
      </c>
      <c r="E34" s="10">
        <v>0.25</v>
      </c>
      <c r="F34" s="10">
        <v>59</v>
      </c>
      <c r="G34" s="2" t="s">
        <v>98</v>
      </c>
      <c r="H34" s="2" t="s">
        <v>80</v>
      </c>
    </row>
    <row r="35" spans="1:8" x14ac:dyDescent="0.25">
      <c r="A35" s="7">
        <v>34</v>
      </c>
      <c r="B35" s="4" t="s">
        <v>104</v>
      </c>
      <c r="C35" s="4" t="s">
        <v>61</v>
      </c>
      <c r="D35" s="4" t="s">
        <v>105</v>
      </c>
      <c r="E35" s="11">
        <v>0.24</v>
      </c>
      <c r="F35" s="11">
        <v>48</v>
      </c>
      <c r="G35" s="4" t="s">
        <v>86</v>
      </c>
      <c r="H35" s="4" t="s">
        <v>80</v>
      </c>
    </row>
    <row r="36" spans="1:8" x14ac:dyDescent="0.25">
      <c r="A36" s="6">
        <v>35</v>
      </c>
      <c r="B36" s="2" t="s">
        <v>119</v>
      </c>
      <c r="C36" s="2" t="s">
        <v>61</v>
      </c>
      <c r="D36" s="2" t="s">
        <v>120</v>
      </c>
      <c r="E36" s="10">
        <v>0.18</v>
      </c>
      <c r="F36" s="10">
        <v>25</v>
      </c>
      <c r="G36" s="2" t="s">
        <v>86</v>
      </c>
      <c r="H36" s="2" t="s">
        <v>87</v>
      </c>
    </row>
    <row r="37" spans="1:8" x14ac:dyDescent="0.25">
      <c r="A37" s="4"/>
      <c r="B37" s="4" t="s">
        <v>121</v>
      </c>
      <c r="C37" s="4"/>
      <c r="D37" s="4"/>
      <c r="E37" s="4"/>
      <c r="F37" s="4">
        <f>SUM(F2:F36)</f>
        <v>2264</v>
      </c>
      <c r="G37" s="4"/>
      <c r="H37" s="4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opLeftCell="C1" zoomScale="142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27" customWidth="1"/>
    <col min="2" max="2" width="12" customWidth="1"/>
    <col min="3" max="3" width="22" customWidth="1"/>
    <col min="4" max="5" width="48" customWidth="1"/>
  </cols>
  <sheetData>
    <row r="1" spans="1:5" ht="24" customHeight="1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25">
      <c r="A2" s="2" t="s">
        <v>127</v>
      </c>
      <c r="B2" s="3">
        <f xml:space="preserve"> SUM(NIST_Controls!F2:F36)</f>
        <v>2264</v>
      </c>
      <c r="C2" s="2" t="s">
        <v>178</v>
      </c>
      <c r="D2" s="2" t="s">
        <v>190</v>
      </c>
      <c r="E2" s="2" t="s">
        <v>183</v>
      </c>
    </row>
    <row r="3" spans="1:5" x14ac:dyDescent="0.25">
      <c r="A3" s="4" t="s">
        <v>128</v>
      </c>
      <c r="B3" s="5">
        <v>120</v>
      </c>
      <c r="C3" s="4" t="s">
        <v>129</v>
      </c>
      <c r="D3" s="4" t="s">
        <v>179</v>
      </c>
      <c r="E3" s="4" t="s">
        <v>180</v>
      </c>
    </row>
    <row r="4" spans="1:5" x14ac:dyDescent="0.25">
      <c r="A4" s="2" t="s">
        <v>130</v>
      </c>
      <c r="B4" s="3">
        <v>50</v>
      </c>
      <c r="C4" s="2" t="s">
        <v>131</v>
      </c>
      <c r="D4" s="2" t="s">
        <v>132</v>
      </c>
      <c r="E4" s="2" t="s">
        <v>133</v>
      </c>
    </row>
    <row r="5" spans="1:5" x14ac:dyDescent="0.25">
      <c r="A5" s="4" t="s">
        <v>134</v>
      </c>
      <c r="B5" s="5">
        <v>2</v>
      </c>
      <c r="C5" s="4" t="s">
        <v>135</v>
      </c>
      <c r="D5" s="4" t="s">
        <v>136</v>
      </c>
      <c r="E5" s="4" t="s">
        <v>137</v>
      </c>
    </row>
    <row r="6" spans="1:5" x14ac:dyDescent="0.25">
      <c r="A6" s="2" t="s">
        <v>138</v>
      </c>
      <c r="B6" s="3">
        <v>5</v>
      </c>
      <c r="C6" s="2" t="s">
        <v>139</v>
      </c>
      <c r="D6" s="2" t="s">
        <v>140</v>
      </c>
      <c r="E6" s="2" t="s">
        <v>141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2" customWidth="1"/>
    <col min="2" max="3" width="48" customWidth="1"/>
  </cols>
  <sheetData>
    <row r="1" spans="1:3" ht="24" customHeight="1" x14ac:dyDescent="0.25">
      <c r="A1" s="1" t="s">
        <v>142</v>
      </c>
      <c r="B1" s="1" t="s">
        <v>143</v>
      </c>
      <c r="C1" s="1" t="s">
        <v>144</v>
      </c>
    </row>
    <row r="2" spans="1:3" x14ac:dyDescent="0.25">
      <c r="A2" s="2" t="s">
        <v>145</v>
      </c>
      <c r="B2" s="2" t="s">
        <v>146</v>
      </c>
      <c r="C2" s="2" t="s">
        <v>147</v>
      </c>
    </row>
    <row r="3" spans="1:3" x14ac:dyDescent="0.25">
      <c r="A3" s="4" t="s">
        <v>148</v>
      </c>
      <c r="B3" s="4" t="s">
        <v>149</v>
      </c>
      <c r="C3" s="4" t="s">
        <v>150</v>
      </c>
    </row>
    <row r="4" spans="1:3" x14ac:dyDescent="0.25">
      <c r="A4" s="2" t="s">
        <v>151</v>
      </c>
      <c r="B4" s="2" t="s">
        <v>152</v>
      </c>
      <c r="C4" s="2" t="s">
        <v>153</v>
      </c>
    </row>
    <row r="5" spans="1:3" x14ac:dyDescent="0.25">
      <c r="A5" s="4" t="s">
        <v>154</v>
      </c>
      <c r="B5" s="4" t="s">
        <v>155</v>
      </c>
      <c r="C5" s="4" t="s">
        <v>156</v>
      </c>
    </row>
    <row r="6" spans="1:3" x14ac:dyDescent="0.25">
      <c r="A6" s="2" t="s">
        <v>157</v>
      </c>
      <c r="B6" s="2" t="s">
        <v>158</v>
      </c>
      <c r="C6" s="2" t="s">
        <v>159</v>
      </c>
    </row>
    <row r="7" spans="1:3" x14ac:dyDescent="0.25">
      <c r="A7" s="4" t="s">
        <v>160</v>
      </c>
      <c r="B7" s="4" t="s">
        <v>161</v>
      </c>
      <c r="C7" s="4" t="s">
        <v>184</v>
      </c>
    </row>
    <row r="8" spans="1:3" x14ac:dyDescent="0.25">
      <c r="A8" s="2" t="s">
        <v>162</v>
      </c>
      <c r="B8" s="2" t="s">
        <v>194</v>
      </c>
      <c r="C8" s="2" t="s">
        <v>195</v>
      </c>
    </row>
    <row r="9" spans="1:3" x14ac:dyDescent="0.25">
      <c r="A9" s="4" t="s">
        <v>163</v>
      </c>
      <c r="B9" s="4" t="s">
        <v>164</v>
      </c>
      <c r="C9" s="4" t="s">
        <v>165</v>
      </c>
    </row>
    <row r="10" spans="1:3" x14ac:dyDescent="0.25">
      <c r="A10" s="4" t="s">
        <v>185</v>
      </c>
      <c r="B10" s="4" t="s">
        <v>192</v>
      </c>
      <c r="C10" t="s">
        <v>193</v>
      </c>
    </row>
    <row r="11" spans="1:3" x14ac:dyDescent="0.25">
      <c r="A11" s="4" t="s">
        <v>186</v>
      </c>
      <c r="B11" s="4" t="s">
        <v>196</v>
      </c>
      <c r="C11" t="s">
        <v>187</v>
      </c>
    </row>
    <row r="12" spans="1:3" x14ac:dyDescent="0.25">
      <c r="A12" s="4" t="s">
        <v>188</v>
      </c>
      <c r="B12" s="12" t="s">
        <v>197</v>
      </c>
      <c r="C12" t="s">
        <v>189</v>
      </c>
    </row>
    <row r="13" spans="1:3" x14ac:dyDescent="0.25">
      <c r="A13" s="2" t="s">
        <v>166</v>
      </c>
      <c r="B13" s="2" t="s">
        <v>167</v>
      </c>
      <c r="C13" s="2" t="s">
        <v>168</v>
      </c>
    </row>
    <row r="14" spans="1:3" x14ac:dyDescent="0.25">
      <c r="A14" s="4" t="s">
        <v>169</v>
      </c>
      <c r="B14" s="4" t="s">
        <v>170</v>
      </c>
      <c r="C14" s="4" t="s">
        <v>171</v>
      </c>
    </row>
    <row r="15" spans="1:3" x14ac:dyDescent="0.25">
      <c r="A15" s="2" t="s">
        <v>172</v>
      </c>
      <c r="B15" s="2" t="s">
        <v>173</v>
      </c>
      <c r="C15" s="2" t="s">
        <v>174</v>
      </c>
    </row>
    <row r="16" spans="1:3" x14ac:dyDescent="0.25">
      <c r="A16" s="4" t="s">
        <v>175</v>
      </c>
      <c r="B16" s="4" t="s">
        <v>176</v>
      </c>
      <c r="C16" s="4" t="s">
        <v>177</v>
      </c>
    </row>
  </sheetData>
  <autoFilter ref="A1:C16"/>
  <hyperlinks>
    <hyperlink ref="B1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NIST_Controls</vt:lpstr>
      <vt:lpstr>Game_Parameters</vt:lpstr>
      <vt:lpstr>Metadata_References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2026-10-03T13:44:39Z</dcterms:created>
  <dcterms:modified xsi:type="dcterms:W3CDTF">2026-10-03T20:25:03Z</dcterms:modified>
</cp:coreProperties>
</file>